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ommy2002t/Desktop/"/>
    </mc:Choice>
  </mc:AlternateContent>
  <xr:revisionPtr revIDLastSave="0" documentId="13_ncr:1_{F3E6FBC7-684F-9D47-983C-EC4C2B8CDF42}" xr6:coauthVersionLast="47" xr6:coauthVersionMax="47" xr10:uidLastSave="{00000000-0000-0000-0000-000000000000}"/>
  <bookViews>
    <workbookView xWindow="800" yWindow="600" windowWidth="38400" windowHeight="19760" xr2:uid="{00000000-000D-0000-FFFF-FFFF00000000}"/>
  </bookViews>
  <sheets>
    <sheet name="Summary" sheetId="1" r:id="rId1"/>
    <sheet name="BQ25750_Calcs" sheetId="2" r:id="rId2"/>
    <sheet name="BQ76942_Cal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C76" i="1"/>
  <c r="E75" i="1"/>
  <c r="C75" i="1"/>
  <c r="E60" i="1"/>
  <c r="C60" i="1"/>
  <c r="E51" i="1"/>
  <c r="C51" i="1"/>
  <c r="C39" i="1"/>
  <c r="C38" i="1"/>
  <c r="E43" i="1" s="1"/>
  <c r="E28" i="1"/>
  <c r="C28" i="1"/>
  <c r="E25" i="1"/>
  <c r="C25" i="1"/>
  <c r="E14" i="3"/>
  <c r="C14" i="3"/>
  <c r="E13" i="3"/>
  <c r="C13" i="3"/>
  <c r="E45" i="2"/>
  <c r="C45" i="2"/>
  <c r="E36" i="2"/>
  <c r="C36" i="2"/>
  <c r="C24" i="2"/>
  <c r="C23" i="2"/>
  <c r="E26" i="2" s="1"/>
  <c r="E13" i="2"/>
  <c r="C13" i="2"/>
  <c r="E10" i="2"/>
  <c r="C10" i="2"/>
  <c r="C41" i="1" l="1"/>
  <c r="E41" i="1"/>
  <c r="C43" i="1"/>
  <c r="C28" i="2"/>
  <c r="E28" i="2"/>
  <c r="C26" i="2"/>
</calcChain>
</file>

<file path=xl/sharedStrings.xml><?xml version="1.0" encoding="utf-8"?>
<sst xmlns="http://schemas.openxmlformats.org/spreadsheetml/2006/main" count="293" uniqueCount="122">
  <si>
    <t>IC</t>
  </si>
  <si>
    <t>Design item</t>
  </si>
  <si>
    <t>Selected schematic values</t>
  </si>
  <si>
    <t>Result</t>
  </si>
  <si>
    <t>Meaning</t>
  </si>
  <si>
    <t>BQ25750</t>
  </si>
  <si>
    <t>FB divider / battery regulation</t>
  </si>
  <si>
    <t>RTOP=249 kΩ, RBOT=34.8 kΩ, VFB=1.536 V, RFBG=33 Ω</t>
  </si>
  <si>
    <t>VBAT ≈ 12.54 V</t>
  </si>
  <si>
    <t>Battery regulation voltage for the 3S pack.</t>
  </si>
  <si>
    <t>ACUV / ACOV divider</t>
  </si>
  <si>
    <t>RAC1=1 MΩ, RAC2=100 kΩ, RAC3=20 kΩ</t>
  </si>
  <si>
    <t>ACUV≈10.27 V, ACOV≈67.20 V</t>
  </si>
  <si>
    <t>Input valid/overvoltage thresholds.</t>
  </si>
  <si>
    <t>Hardware charge current limit</t>
  </si>
  <si>
    <t>RICHG=34.8 kΩ, KICHG=50 A·kΩ</t>
  </si>
  <si>
    <t>ICHG≈1.44 A</t>
  </si>
  <si>
    <t>Maximum charge current set by the ICHG pin.</t>
  </si>
  <si>
    <t>Hardware input current limit</t>
  </si>
  <si>
    <t>RILIM=10 kΩ, KILIM=50 A·kΩ</t>
  </si>
  <si>
    <t>ILIM≈5.00 A</t>
  </si>
  <si>
    <t>Maximum input current set by ILIM_HIZ.</t>
  </si>
  <si>
    <t>BQ76942</t>
  </si>
  <si>
    <t>Internal balancing current</t>
  </si>
  <si>
    <t>RIN=100 Ω, RCB=25 Ω typ, VCELL=4.2 V</t>
  </si>
  <si>
    <t>IBAL≈18.7 mA</t>
  </si>
  <si>
    <t>Approximate internal cell balancing current.</t>
  </si>
  <si>
    <t>Variable / Step</t>
  </si>
  <si>
    <t>Symbol</t>
  </si>
  <si>
    <t>Value</t>
  </si>
  <si>
    <t>Unit</t>
  </si>
  <si>
    <t>Excel formula / manual calculation</t>
  </si>
  <si>
    <t>1. FB bottom resistor / battery regulation voltage</t>
  </si>
  <si>
    <t>Top FB resistor</t>
  </si>
  <si>
    <t>RTOP</t>
  </si>
  <si>
    <t>Ω</t>
  </si>
  <si>
    <t>Feedback reference voltage</t>
  </si>
  <si>
    <t>VFB</t>
  </si>
  <si>
    <t>V</t>
  </si>
  <si>
    <t>Target battery regulation voltage</t>
  </si>
  <si>
    <t>VBATREG_target</t>
  </si>
  <si>
    <t>FBG internal/reference resistance</t>
  </si>
  <si>
    <t>RFBG</t>
  </si>
  <si>
    <t>Datasheet formula</t>
  </si>
  <si>
    <t>RBOT = RTOP × VFB / (VBATREG − VFB) + RFBG</t>
  </si>
  <si>
    <t>Ideal RBOT calculation</t>
  </si>
  <si>
    <t>RBOT_ideal</t>
  </si>
  <si>
    <t>Selected RBOT</t>
  </si>
  <si>
    <t>RBOT_selected</t>
  </si>
  <si>
    <t>Actual VBAT formula</t>
  </si>
  <si>
    <t>VBAT = VFB × (1 + RTOP / (RBOT_selected − RFBG))</t>
  </si>
  <si>
    <t>Actual battery regulation voltage</t>
  </si>
  <si>
    <t>VBAT_actual</t>
  </si>
  <si>
    <t>The battery pack will regulate near 12.54 V, slightly below 12.60 V.</t>
  </si>
  <si>
    <t>2. ACUV / ACOV divider thresholds</t>
  </si>
  <si>
    <t>RAC1</t>
  </si>
  <si>
    <t>kΩ</t>
  </si>
  <si>
    <t>RAC2</t>
  </si>
  <si>
    <t>RAC3</t>
  </si>
  <si>
    <t>10 kΩ + 10 kΩ</t>
  </si>
  <si>
    <t>ACUV reference</t>
  </si>
  <si>
    <t>VACUV_REF</t>
  </si>
  <si>
    <t>ACOV reference</t>
  </si>
  <si>
    <t>VACOV_REF</t>
  </si>
  <si>
    <t>Sum of divider resistors</t>
  </si>
  <si>
    <t>RSUM</t>
  </si>
  <si>
    <t>RAC1 + RAC2 + RAC3</t>
  </si>
  <si>
    <t>Lower divider sum</t>
  </si>
  <si>
    <t>RLOW</t>
  </si>
  <si>
    <t>RAC2 + RAC3</t>
  </si>
  <si>
    <t>Datasheet ACUV formula</t>
  </si>
  <si>
    <t>VACUV = 1.1 × (RAC1 + RAC2 + RAC3) / (RAC2 + RAC3)</t>
  </si>
  <si>
    <t>ACUV threshold</t>
  </si>
  <si>
    <t>VACUV</t>
  </si>
  <si>
    <t>Datasheet ACOV formula</t>
  </si>
  <si>
    <t>VACOV = 1.2 × (RAC1 + RAC2 + RAC3) / RAC3</t>
  </si>
  <si>
    <t>ACOV threshold</t>
  </si>
  <si>
    <t>VACOV</t>
  </si>
  <si>
    <t>3. ICHG resistor / hardware charge current limit</t>
  </si>
  <si>
    <t>KICHG typical</t>
  </si>
  <si>
    <t>KICHG</t>
  </si>
  <si>
    <t>A·kΩ</t>
  </si>
  <si>
    <t>Selected ICHG resistor</t>
  </si>
  <si>
    <t>RICHG</t>
  </si>
  <si>
    <t>ICHG_MAX = KICHG / RICHG</t>
  </si>
  <si>
    <t>Charge current limit</t>
  </si>
  <si>
    <t>ICHG_MAX</t>
  </si>
  <si>
    <t>A</t>
  </si>
  <si>
    <t>The charger hardware limit is about 1.44 A.</t>
  </si>
  <si>
    <t>4. ILIM_HIZ resistor / hardware input current limit</t>
  </si>
  <si>
    <t>KILIM typical</t>
  </si>
  <si>
    <t>KILIM</t>
  </si>
  <si>
    <t>Selected ILIM_HIZ resistor</t>
  </si>
  <si>
    <t>RILIM</t>
  </si>
  <si>
    <t>RAC_SNS</t>
  </si>
  <si>
    <t>mΩ</t>
  </si>
  <si>
    <t>ILIM = KILIM / RILIM</t>
  </si>
  <si>
    <t>Input current limit</t>
  </si>
  <si>
    <t>ILIM</t>
  </si>
  <si>
    <t>The hardware input limit is about 5 A.</t>
  </si>
  <si>
    <t>Maximum cell voltage</t>
  </si>
  <si>
    <t>VCELL_MAX</t>
  </si>
  <si>
    <t>2. Internal cell balancing current</t>
  </si>
  <si>
    <t>Cell input resistor</t>
  </si>
  <si>
    <t>RIN</t>
  </si>
  <si>
    <t>Internal balancing resistance typical</t>
  </si>
  <si>
    <t>RCB</t>
  </si>
  <si>
    <t>Nominal cell voltage</t>
  </si>
  <si>
    <t>VCELL_NOM</t>
  </si>
  <si>
    <t>Formula</t>
  </si>
  <si>
    <t>IBAL = VCELL / (2 × RIN + RCB)</t>
  </si>
  <si>
    <t>Balancing current at 4.2 V</t>
  </si>
  <si>
    <t>IBAL_MAX</t>
  </si>
  <si>
    <t>Balancing current at 3.7 V</t>
  </si>
  <si>
    <t>IBAL_NOM</t>
  </si>
  <si>
    <t>BQ25750 Calculations</t>
  </si>
  <si>
    <t>Upper Voltage: 67.2V   Lower Voltage: 10.27V</t>
  </si>
  <si>
    <t>BQ76942 Calculations</t>
  </si>
  <si>
    <t>Internal Balancing: 16–19 mA</t>
  </si>
  <si>
    <t>Excel formula</t>
  </si>
  <si>
    <t>The battery pack will regulate near 12.54 V</t>
  </si>
  <si>
    <t>LITHIUM Board Design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</si>
</sst>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0F172A"/>
      <name val="Carlito"/>
    </font>
    <font>
      <b/>
      <sz val="11"/>
      <color rgb="FF78350F"/>
      <name val="Carlito"/>
    </font>
    <font>
      <sz val="11"/>
      <name val="Carlito"/>
    </font>
    <font>
      <sz val="11"/>
      <color rgb="FF78350F"/>
      <name val="Carlito"/>
      <charset val="16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5" fillId="0" borderId="0" xfId="1" applyFont="1" applyFill="1" applyAlignment="1">
      <alignment wrapText="1"/>
    </xf>
    <xf numFmtId="0" fontId="3" fillId="0" borderId="0" xfId="1" applyFont="1" applyFill="1" applyAlignment="1">
      <alignment wrapText="1"/>
    </xf>
    <xf numFmtId="164" fontId="3" fillId="0" borderId="0" xfId="1" applyNumberFormat="1" applyFont="1" applyFill="1" applyAlignment="1">
      <alignment wrapText="1"/>
    </xf>
    <xf numFmtId="0" fontId="2" fillId="0" borderId="0" xfId="1" applyFont="1" applyFill="1" applyAlignment="1">
      <alignment horizontal="center" vertical="center" wrapText="1"/>
    </xf>
  </cellXfs>
  <cellStyles count="2">
    <cellStyle name="Κανονικό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J19" sqref="J19"/>
    </sheetView>
  </sheetViews>
  <sheetFormatPr baseColWidth="10" defaultColWidth="8.83203125" defaultRowHeight="15"/>
  <cols>
    <col min="1" max="1" width="14" customWidth="1"/>
    <col min="2" max="2" width="30" customWidth="1"/>
    <col min="3" max="3" width="44" customWidth="1"/>
    <col min="4" max="4" width="28" customWidth="1"/>
    <col min="5" max="5" width="42" customWidth="1"/>
    <col min="6" max="6" width="18" customWidth="1"/>
  </cols>
  <sheetData>
    <row r="1" spans="1:6" ht="18">
      <c r="A1" s="6" t="s">
        <v>121</v>
      </c>
      <c r="B1" s="6"/>
      <c r="C1" s="6"/>
      <c r="D1" s="6"/>
      <c r="E1" s="6"/>
      <c r="F1" s="6"/>
    </row>
    <row r="2" spans="1:6" ht="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0"/>
    </row>
    <row r="3" spans="1:6" ht="32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/>
    </row>
    <row r="4" spans="1:6" ht="16">
      <c r="A4" s="2" t="s">
        <v>5</v>
      </c>
      <c r="B4" s="2" t="s">
        <v>10</v>
      </c>
      <c r="C4" s="2" t="s">
        <v>11</v>
      </c>
      <c r="D4" s="2" t="s">
        <v>12</v>
      </c>
      <c r="E4" s="2" t="s">
        <v>13</v>
      </c>
      <c r="F4" s="2"/>
    </row>
    <row r="5" spans="1:6" ht="16">
      <c r="A5" s="2" t="s">
        <v>5</v>
      </c>
      <c r="B5" s="2" t="s">
        <v>14</v>
      </c>
      <c r="C5" s="2" t="s">
        <v>15</v>
      </c>
      <c r="D5" s="2" t="s">
        <v>16</v>
      </c>
      <c r="E5" s="2" t="s">
        <v>17</v>
      </c>
      <c r="F5" s="2"/>
    </row>
    <row r="6" spans="1:6" ht="16">
      <c r="A6" s="2" t="s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/>
    </row>
    <row r="7" spans="1:6">
      <c r="A7" s="2"/>
      <c r="B7" s="2"/>
      <c r="C7" s="2"/>
      <c r="D7" s="2"/>
      <c r="E7" s="2"/>
      <c r="F7" s="2"/>
    </row>
    <row r="8" spans="1:6" ht="16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7" spans="1:6" ht="18">
      <c r="A17" s="6" t="s">
        <v>115</v>
      </c>
      <c r="B17" s="6"/>
      <c r="C17" s="6"/>
      <c r="D17" s="6"/>
      <c r="E17" s="6"/>
      <c r="F17" s="6"/>
    </row>
    <row r="18" spans="1:6" ht="16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119</v>
      </c>
      <c r="F18" s="10"/>
    </row>
    <row r="19" spans="1:6" ht="80">
      <c r="A19" s="8" t="s">
        <v>32</v>
      </c>
      <c r="B19" s="8"/>
      <c r="C19" s="8"/>
      <c r="D19" s="8"/>
      <c r="E19" s="8"/>
      <c r="F19" s="8"/>
    </row>
    <row r="20" spans="1:6" ht="16">
      <c r="A20" s="2" t="s">
        <v>33</v>
      </c>
      <c r="B20" s="2" t="s">
        <v>34</v>
      </c>
      <c r="C20" s="3">
        <v>249000</v>
      </c>
      <c r="D20" s="2" t="s">
        <v>35</v>
      </c>
      <c r="E20" s="2"/>
      <c r="F20" s="2"/>
    </row>
    <row r="21" spans="1:6" ht="48">
      <c r="A21" s="2" t="s">
        <v>36</v>
      </c>
      <c r="B21" s="2" t="s">
        <v>37</v>
      </c>
      <c r="C21" s="3">
        <v>1.536</v>
      </c>
      <c r="D21" s="2" t="s">
        <v>38</v>
      </c>
      <c r="E21" s="2"/>
      <c r="F21" s="2"/>
    </row>
    <row r="22" spans="1:6" ht="48">
      <c r="A22" s="2" t="s">
        <v>39</v>
      </c>
      <c r="B22" s="2" t="s">
        <v>40</v>
      </c>
      <c r="C22" s="3">
        <v>12.6</v>
      </c>
      <c r="D22" s="2" t="s">
        <v>38</v>
      </c>
      <c r="E22" s="2"/>
      <c r="F22" s="2"/>
    </row>
    <row r="23" spans="1:6" ht="48">
      <c r="A23" s="2" t="s">
        <v>41</v>
      </c>
      <c r="B23" s="2" t="s">
        <v>42</v>
      </c>
      <c r="C23" s="3">
        <v>33</v>
      </c>
      <c r="D23" s="2" t="s">
        <v>35</v>
      </c>
      <c r="E23" s="2"/>
      <c r="F23" s="2"/>
    </row>
    <row r="24" spans="1:6" ht="32">
      <c r="A24" s="2" t="s">
        <v>43</v>
      </c>
      <c r="B24" s="2"/>
      <c r="C24" s="3"/>
      <c r="D24" s="2"/>
      <c r="E24" s="2" t="s">
        <v>44</v>
      </c>
      <c r="F24" s="2"/>
    </row>
    <row r="25" spans="1:6" ht="32">
      <c r="A25" s="2" t="s">
        <v>45</v>
      </c>
      <c r="B25" s="2" t="s">
        <v>46</v>
      </c>
      <c r="C25" s="4">
        <f>C20*C21/(C22-C21)+C23</f>
        <v>34601.329718004337</v>
      </c>
      <c r="D25" s="2" t="s">
        <v>35</v>
      </c>
      <c r="E25" s="2" t="str">
        <f>C20&amp;" × "&amp;C21&amp;" / ("&amp;C22&amp;" − "&amp;C21&amp;") + "&amp;C23</f>
        <v>249000 × 1,536 / (12,6 − 1,536) + 33</v>
      </c>
      <c r="F25" s="2"/>
    </row>
    <row r="26" spans="1:6" ht="16">
      <c r="A26" s="2" t="s">
        <v>47</v>
      </c>
      <c r="B26" s="2" t="s">
        <v>48</v>
      </c>
      <c r="C26" s="3">
        <v>34800</v>
      </c>
      <c r="D26" s="2" t="s">
        <v>35</v>
      </c>
      <c r="E26" s="2"/>
      <c r="F26" s="2"/>
    </row>
    <row r="27" spans="1:6" ht="32">
      <c r="A27" s="2" t="s">
        <v>49</v>
      </c>
      <c r="B27" s="2"/>
      <c r="C27" s="3"/>
      <c r="D27" s="2"/>
      <c r="E27" s="2" t="s">
        <v>50</v>
      </c>
      <c r="F27" s="2"/>
    </row>
    <row r="28" spans="1:6" ht="48">
      <c r="A28" s="2" t="s">
        <v>51</v>
      </c>
      <c r="B28" s="2" t="s">
        <v>52</v>
      </c>
      <c r="C28" s="3">
        <f>C21*(1+C20/(C26-C23))</f>
        <v>12.536776598498575</v>
      </c>
      <c r="D28" s="2" t="s">
        <v>38</v>
      </c>
      <c r="E28" s="2" t="str">
        <f>C21&amp;" × (1 + "&amp;C20&amp;" / ("&amp;C26&amp;" − "&amp;C23&amp;"))"</f>
        <v>1,536 × (1 + 249000 / (34800 − 33))</v>
      </c>
      <c r="F28" s="2"/>
    </row>
    <row r="29" spans="1:6" ht="48">
      <c r="A29" s="2" t="s">
        <v>4</v>
      </c>
      <c r="B29" s="2"/>
      <c r="C29" s="3"/>
      <c r="D29" s="2"/>
      <c r="E29" s="2"/>
      <c r="F29" s="2" t="s">
        <v>120</v>
      </c>
    </row>
    <row r="30" spans="1:6">
      <c r="A30" s="2"/>
      <c r="B30" s="2"/>
      <c r="C30" s="3"/>
      <c r="D30" s="2"/>
      <c r="E30" s="2"/>
      <c r="F30" s="2"/>
    </row>
    <row r="31" spans="1:6">
      <c r="A31" s="2"/>
      <c r="B31" s="2"/>
      <c r="C31" s="3"/>
      <c r="D31" s="2"/>
      <c r="E31" s="2"/>
      <c r="F31" s="2"/>
    </row>
    <row r="32" spans="1:6" ht="48">
      <c r="A32" s="8" t="s">
        <v>54</v>
      </c>
      <c r="B32" s="8"/>
      <c r="C32" s="9"/>
      <c r="D32" s="8"/>
      <c r="E32" s="8"/>
      <c r="F32" s="8"/>
    </row>
    <row r="33" spans="1:6" ht="16">
      <c r="A33" s="2" t="s">
        <v>55</v>
      </c>
      <c r="B33" s="2" t="s">
        <v>55</v>
      </c>
      <c r="C33" s="3">
        <v>1000</v>
      </c>
      <c r="D33" s="2" t="s">
        <v>56</v>
      </c>
      <c r="E33" s="2"/>
      <c r="F33" s="2"/>
    </row>
    <row r="34" spans="1:6" ht="16">
      <c r="A34" s="2" t="s">
        <v>57</v>
      </c>
      <c r="B34" s="2" t="s">
        <v>57</v>
      </c>
      <c r="C34" s="3">
        <v>100</v>
      </c>
      <c r="D34" s="2" t="s">
        <v>56</v>
      </c>
      <c r="E34" s="2"/>
      <c r="F34" s="2"/>
    </row>
    <row r="35" spans="1:6" ht="16">
      <c r="A35" s="2" t="s">
        <v>58</v>
      </c>
      <c r="B35" s="2" t="s">
        <v>58</v>
      </c>
      <c r="C35" s="3">
        <v>20</v>
      </c>
      <c r="D35" s="2" t="s">
        <v>56</v>
      </c>
      <c r="E35" s="2" t="s">
        <v>59</v>
      </c>
      <c r="F35" s="2"/>
    </row>
    <row r="36" spans="1:6" ht="32">
      <c r="A36" s="2" t="s">
        <v>60</v>
      </c>
      <c r="B36" s="2" t="s">
        <v>61</v>
      </c>
      <c r="C36" s="3">
        <v>1.1000000000000001</v>
      </c>
      <c r="D36" s="2" t="s">
        <v>38</v>
      </c>
      <c r="E36" s="2"/>
      <c r="F36" s="2"/>
    </row>
    <row r="37" spans="1:6" ht="32">
      <c r="A37" s="2" t="s">
        <v>62</v>
      </c>
      <c r="B37" s="2" t="s">
        <v>63</v>
      </c>
      <c r="C37" s="3">
        <v>1.2</v>
      </c>
      <c r="D37" s="2" t="s">
        <v>38</v>
      </c>
      <c r="E37" s="2"/>
      <c r="F37" s="2"/>
    </row>
    <row r="38" spans="1:6" ht="32">
      <c r="A38" s="2" t="s">
        <v>64</v>
      </c>
      <c r="B38" s="2" t="s">
        <v>65</v>
      </c>
      <c r="C38" s="3">
        <f>SUM(C33:C35)</f>
        <v>1120</v>
      </c>
      <c r="D38" s="2" t="s">
        <v>56</v>
      </c>
      <c r="E38" s="2" t="s">
        <v>66</v>
      </c>
      <c r="F38" s="2"/>
    </row>
    <row r="39" spans="1:6" ht="32">
      <c r="A39" s="2" t="s">
        <v>67</v>
      </c>
      <c r="B39" s="2" t="s">
        <v>68</v>
      </c>
      <c r="C39" s="3">
        <f>C34+C35</f>
        <v>120</v>
      </c>
      <c r="D39" s="2" t="s">
        <v>56</v>
      </c>
      <c r="E39" s="2" t="s">
        <v>69</v>
      </c>
      <c r="F39" s="2"/>
    </row>
    <row r="40" spans="1:6" ht="32">
      <c r="A40" s="2" t="s">
        <v>70</v>
      </c>
      <c r="B40" s="2"/>
      <c r="C40" s="3"/>
      <c r="D40" s="2"/>
      <c r="E40" s="2" t="s">
        <v>71</v>
      </c>
      <c r="F40" s="2"/>
    </row>
    <row r="41" spans="1:6" ht="32">
      <c r="A41" s="2" t="s">
        <v>72</v>
      </c>
      <c r="B41" s="2" t="s">
        <v>73</v>
      </c>
      <c r="C41" s="4">
        <f>C36*C38/C39</f>
        <v>10.266666666666667</v>
      </c>
      <c r="D41" s="2" t="s">
        <v>38</v>
      </c>
      <c r="E41" s="2" t="str">
        <f>C36&amp;" × "&amp;C38&amp;" / "&amp;C39</f>
        <v>1,1 × 1120 / 120</v>
      </c>
      <c r="F41" s="2"/>
    </row>
    <row r="42" spans="1:6" ht="32">
      <c r="A42" s="2" t="s">
        <v>74</v>
      </c>
      <c r="B42" s="2"/>
      <c r="C42" s="4"/>
      <c r="D42" s="2"/>
      <c r="E42" s="2" t="s">
        <v>75</v>
      </c>
      <c r="F42" s="2"/>
    </row>
    <row r="43" spans="1:6" ht="32">
      <c r="A43" s="2" t="s">
        <v>76</v>
      </c>
      <c r="B43" s="2" t="s">
        <v>77</v>
      </c>
      <c r="C43" s="4">
        <f>C37*C38/C35</f>
        <v>67.2</v>
      </c>
      <c r="D43" s="2" t="s">
        <v>38</v>
      </c>
      <c r="E43" s="2" t="str">
        <f>C37&amp;" × "&amp;C38&amp;" / "&amp;C35</f>
        <v>1,2 × 1120 / 20</v>
      </c>
      <c r="F43" s="2"/>
    </row>
    <row r="44" spans="1:6" ht="48">
      <c r="A44" s="2" t="s">
        <v>4</v>
      </c>
      <c r="B44" s="2"/>
      <c r="C44" s="3"/>
      <c r="D44" s="2"/>
      <c r="E44" s="2"/>
      <c r="F44" s="2" t="s">
        <v>116</v>
      </c>
    </row>
    <row r="45" spans="1:6">
      <c r="A45" s="2"/>
      <c r="B45" s="2"/>
      <c r="C45" s="3"/>
      <c r="D45" s="2"/>
      <c r="E45" s="2"/>
      <c r="F45" s="2"/>
    </row>
    <row r="46" spans="1:6">
      <c r="A46" s="2"/>
      <c r="B46" s="2"/>
      <c r="C46" s="3"/>
      <c r="D46" s="2"/>
      <c r="E46" s="2"/>
      <c r="F46" s="2"/>
    </row>
    <row r="47" spans="1:6" ht="80">
      <c r="A47" s="8" t="s">
        <v>78</v>
      </c>
      <c r="B47" s="8"/>
      <c r="C47" s="9"/>
      <c r="D47" s="8"/>
      <c r="E47" s="8"/>
      <c r="F47" s="8"/>
    </row>
    <row r="48" spans="1:6" ht="16">
      <c r="A48" s="2" t="s">
        <v>79</v>
      </c>
      <c r="B48" s="2" t="s">
        <v>80</v>
      </c>
      <c r="C48" s="3">
        <v>50</v>
      </c>
      <c r="D48" s="2" t="s">
        <v>81</v>
      </c>
      <c r="E48" s="2"/>
      <c r="F48" s="2"/>
    </row>
    <row r="49" spans="1:6" ht="32">
      <c r="A49" s="2" t="s">
        <v>82</v>
      </c>
      <c r="B49" s="2" t="s">
        <v>83</v>
      </c>
      <c r="C49" s="3">
        <v>34.799999999999997</v>
      </c>
      <c r="D49" s="2" t="s">
        <v>56</v>
      </c>
      <c r="E49" s="2"/>
      <c r="F49" s="2"/>
    </row>
    <row r="50" spans="1:6" ht="32">
      <c r="A50" s="2" t="s">
        <v>43</v>
      </c>
      <c r="B50" s="2"/>
      <c r="C50" s="3"/>
      <c r="D50" s="2"/>
      <c r="E50" s="2" t="s">
        <v>84</v>
      </c>
      <c r="F50" s="2"/>
    </row>
    <row r="51" spans="1:6" ht="32">
      <c r="A51" s="2" t="s">
        <v>85</v>
      </c>
      <c r="B51" s="2" t="s">
        <v>86</v>
      </c>
      <c r="C51" s="3">
        <f>C48/C49</f>
        <v>1.4367816091954024</v>
      </c>
      <c r="D51" s="2" t="s">
        <v>87</v>
      </c>
      <c r="E51" s="2" t="str">
        <f>C48&amp;" / "&amp;C49</f>
        <v>50 / 34,8</v>
      </c>
      <c r="F51" s="2"/>
    </row>
    <row r="52" spans="1:6" ht="48">
      <c r="A52" s="2" t="s">
        <v>4</v>
      </c>
      <c r="B52" s="2"/>
      <c r="C52" s="3"/>
      <c r="D52" s="2"/>
      <c r="E52" s="2"/>
      <c r="F52" s="2" t="s">
        <v>88</v>
      </c>
    </row>
    <row r="53" spans="1:6">
      <c r="A53" s="2"/>
      <c r="B53" s="2"/>
      <c r="C53" s="3"/>
      <c r="D53" s="2"/>
      <c r="E53" s="2"/>
      <c r="F53" s="2"/>
    </row>
    <row r="54" spans="1:6">
      <c r="A54" s="2"/>
      <c r="B54" s="2"/>
      <c r="C54" s="3"/>
      <c r="D54" s="2"/>
      <c r="E54" s="2"/>
      <c r="F54" s="2"/>
    </row>
    <row r="55" spans="1:6" ht="80">
      <c r="A55" s="8" t="s">
        <v>89</v>
      </c>
      <c r="B55" s="8"/>
      <c r="C55" s="9"/>
      <c r="D55" s="8"/>
      <c r="E55" s="8"/>
      <c r="F55" s="8"/>
    </row>
    <row r="56" spans="1:6" ht="16">
      <c r="A56" s="2" t="s">
        <v>90</v>
      </c>
      <c r="B56" s="2" t="s">
        <v>91</v>
      </c>
      <c r="C56" s="3">
        <v>50</v>
      </c>
      <c r="D56" s="2" t="s">
        <v>81</v>
      </c>
      <c r="E56" s="2"/>
      <c r="F56" s="2"/>
    </row>
    <row r="57" spans="1:6" ht="48">
      <c r="A57" s="2" t="s">
        <v>92</v>
      </c>
      <c r="B57" s="2" t="s">
        <v>93</v>
      </c>
      <c r="C57" s="3">
        <v>10</v>
      </c>
      <c r="D57" s="2" t="s">
        <v>56</v>
      </c>
      <c r="E57" s="2"/>
      <c r="F57" s="2"/>
    </row>
    <row r="58" spans="1:6" ht="16">
      <c r="A58" s="2" t="s">
        <v>94</v>
      </c>
      <c r="B58" s="2" t="s">
        <v>94</v>
      </c>
      <c r="C58" s="3">
        <v>2</v>
      </c>
      <c r="D58" s="2" t="s">
        <v>95</v>
      </c>
      <c r="E58" s="2"/>
      <c r="F58" s="2"/>
    </row>
    <row r="59" spans="1:6" ht="32">
      <c r="A59" s="2" t="s">
        <v>43</v>
      </c>
      <c r="B59" s="2"/>
      <c r="C59" s="3"/>
      <c r="D59" s="2"/>
      <c r="E59" s="2" t="s">
        <v>96</v>
      </c>
      <c r="F59" s="2"/>
    </row>
    <row r="60" spans="1:6" ht="32">
      <c r="A60" s="2" t="s">
        <v>97</v>
      </c>
      <c r="B60" s="2" t="s">
        <v>98</v>
      </c>
      <c r="C60" s="4">
        <f>C56/C57</f>
        <v>5</v>
      </c>
      <c r="D60" s="2" t="s">
        <v>87</v>
      </c>
      <c r="E60" s="2" t="str">
        <f>C56&amp;" / "&amp;C57</f>
        <v>50 / 10</v>
      </c>
      <c r="F60" s="2"/>
    </row>
    <row r="61" spans="1:6" ht="32">
      <c r="A61" s="2" t="s">
        <v>4</v>
      </c>
      <c r="B61" s="2"/>
      <c r="C61" s="3"/>
      <c r="D61" s="2"/>
      <c r="E61" s="2"/>
      <c r="F61" s="2" t="s">
        <v>99</v>
      </c>
    </row>
    <row r="64" spans="1:6" ht="18">
      <c r="A64" s="6" t="s">
        <v>117</v>
      </c>
      <c r="B64" s="6"/>
      <c r="C64" s="6"/>
      <c r="D64" s="6"/>
      <c r="E64" s="6"/>
      <c r="F64" s="6"/>
    </row>
    <row r="65" spans="1:6" ht="16">
      <c r="A65" s="1" t="s">
        <v>27</v>
      </c>
      <c r="B65" s="1" t="s">
        <v>28</v>
      </c>
      <c r="C65" s="1" t="s">
        <v>29</v>
      </c>
      <c r="D65" s="1" t="s">
        <v>30</v>
      </c>
      <c r="E65" s="1" t="s">
        <v>119</v>
      </c>
      <c r="F65" s="10"/>
    </row>
    <row r="66" spans="1:6">
      <c r="A66" s="8"/>
      <c r="B66" s="8"/>
      <c r="C66" s="8"/>
      <c r="D66" s="8"/>
      <c r="E66" s="8"/>
      <c r="F66" s="8"/>
    </row>
    <row r="67" spans="1:6" ht="48">
      <c r="A67" s="8" t="s">
        <v>102</v>
      </c>
      <c r="B67" s="8"/>
      <c r="C67" s="9"/>
      <c r="D67" s="8"/>
      <c r="E67" s="8"/>
      <c r="F67" s="8"/>
    </row>
    <row r="68" spans="1:6" ht="32">
      <c r="A68" s="2" t="s">
        <v>103</v>
      </c>
      <c r="B68" s="2" t="s">
        <v>104</v>
      </c>
      <c r="C68" s="3">
        <v>100</v>
      </c>
      <c r="D68" s="2" t="s">
        <v>35</v>
      </c>
      <c r="E68" s="2"/>
      <c r="F68" s="2"/>
    </row>
    <row r="69" spans="1:6" ht="64">
      <c r="A69" s="2" t="s">
        <v>105</v>
      </c>
      <c r="B69" s="2" t="s">
        <v>106</v>
      </c>
      <c r="C69" s="3">
        <v>25</v>
      </c>
      <c r="D69" s="2" t="s">
        <v>35</v>
      </c>
      <c r="E69" s="2"/>
      <c r="F69" s="2"/>
    </row>
    <row r="70" spans="1:6" ht="32">
      <c r="A70" s="2" t="s">
        <v>100</v>
      </c>
      <c r="B70" s="2" t="s">
        <v>101</v>
      </c>
      <c r="C70" s="3">
        <v>4.2</v>
      </c>
      <c r="D70" s="2" t="s">
        <v>38</v>
      </c>
      <c r="E70" s="2"/>
      <c r="F70" s="2"/>
    </row>
    <row r="71" spans="1:6" ht="32">
      <c r="A71" s="2" t="s">
        <v>107</v>
      </c>
      <c r="B71" s="2" t="s">
        <v>108</v>
      </c>
      <c r="C71" s="3">
        <v>3.7</v>
      </c>
      <c r="D71" s="2" t="s">
        <v>38</v>
      </c>
      <c r="E71" s="2"/>
      <c r="F71" s="2"/>
    </row>
    <row r="72" spans="1:6" ht="16">
      <c r="A72" s="2" t="s">
        <v>109</v>
      </c>
      <c r="B72" s="2"/>
      <c r="C72" s="3"/>
      <c r="D72" s="2"/>
      <c r="E72" s="2" t="s">
        <v>110</v>
      </c>
      <c r="F72" s="2"/>
    </row>
    <row r="73" spans="1:6" ht="32">
      <c r="A73" s="2" t="s">
        <v>111</v>
      </c>
      <c r="B73" s="2" t="s">
        <v>112</v>
      </c>
      <c r="C73" s="3"/>
      <c r="D73" s="2" t="s">
        <v>87</v>
      </c>
      <c r="E73" s="2"/>
      <c r="F73" s="2"/>
    </row>
    <row r="74" spans="1:6" ht="32">
      <c r="A74" s="2" t="s">
        <v>113</v>
      </c>
      <c r="B74" s="2" t="s">
        <v>114</v>
      </c>
      <c r="C74" s="3"/>
      <c r="D74" s="2" t="s">
        <v>87</v>
      </c>
      <c r="E74" s="2"/>
      <c r="F74" s="2"/>
    </row>
    <row r="75" spans="1:6" ht="32">
      <c r="A75" s="2" t="s">
        <v>4</v>
      </c>
      <c r="B75" s="2"/>
      <c r="C75" s="5">
        <f>C70/(2*C68+C69)</f>
        <v>1.8666666666666668E-2</v>
      </c>
      <c r="D75" s="2"/>
      <c r="E75" s="2" t="str">
        <f>C70&amp;" / (2 × "&amp;C68&amp;" + "&amp;C69&amp;")"</f>
        <v>4,2 / (2 × 100 + 25)</v>
      </c>
      <c r="F75" s="2" t="s">
        <v>118</v>
      </c>
    </row>
    <row r="76" spans="1:6">
      <c r="A76" s="2"/>
      <c r="B76" s="2"/>
      <c r="C76" s="5">
        <f>C71/(2*C68+C69)</f>
        <v>1.6444444444444446E-2</v>
      </c>
      <c r="D76" s="2"/>
      <c r="E76" s="2" t="str">
        <f>C71&amp;" / (2 × "&amp;C68&amp;" + "&amp;C69&amp;")"</f>
        <v>3,7 / (2 × 100 + 25)</v>
      </c>
      <c r="F76" s="2"/>
    </row>
    <row r="77" spans="1:6">
      <c r="B77" s="2"/>
      <c r="C77" s="2"/>
      <c r="D77" s="3"/>
      <c r="E77" s="2"/>
      <c r="F77" s="2"/>
    </row>
    <row r="78" spans="1:6">
      <c r="B78" s="2"/>
      <c r="C78" s="2"/>
      <c r="D78" s="5"/>
      <c r="E78" s="2"/>
      <c r="F78" s="2"/>
    </row>
    <row r="79" spans="1:6">
      <c r="B79" s="2"/>
      <c r="C79" s="2"/>
      <c r="D79" s="5"/>
      <c r="E79" s="2"/>
      <c r="F79" s="2"/>
    </row>
    <row r="86" spans="7:7">
      <c r="G86" s="2"/>
    </row>
    <row r="87" spans="7:7">
      <c r="G87" s="2"/>
    </row>
    <row r="88" spans="7:7">
      <c r="G88" s="2"/>
    </row>
  </sheetData>
  <mergeCells count="3">
    <mergeCell ref="A1:F1"/>
    <mergeCell ref="A17:F17"/>
    <mergeCell ref="A64:F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workbookViewId="0">
      <selection sqref="A1:F46"/>
    </sheetView>
  </sheetViews>
  <sheetFormatPr baseColWidth="10" defaultColWidth="8.83203125" defaultRowHeight="15"/>
  <cols>
    <col min="1" max="1" width="34" customWidth="1"/>
    <col min="2" max="2" width="18" customWidth="1"/>
    <col min="3" max="3" width="16" customWidth="1"/>
    <col min="4" max="4" width="12" customWidth="1"/>
    <col min="5" max="5" width="48" customWidth="1"/>
    <col min="6" max="6" width="50" customWidth="1"/>
  </cols>
  <sheetData>
    <row r="1" spans="1:6" ht="18">
      <c r="A1" s="6" t="s">
        <v>115</v>
      </c>
      <c r="B1" s="6"/>
      <c r="C1" s="6"/>
      <c r="D1" s="6"/>
      <c r="E1" s="6"/>
      <c r="F1" s="6"/>
    </row>
    <row r="3" spans="1:6" ht="16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0"/>
    </row>
    <row r="4" spans="1:6" ht="32">
      <c r="A4" s="8" t="s">
        <v>32</v>
      </c>
      <c r="B4" s="8"/>
      <c r="C4" s="8"/>
      <c r="D4" s="8"/>
      <c r="E4" s="8"/>
      <c r="F4" s="8"/>
    </row>
    <row r="5" spans="1:6" ht="16">
      <c r="A5" s="2" t="s">
        <v>33</v>
      </c>
      <c r="B5" s="2" t="s">
        <v>34</v>
      </c>
      <c r="C5" s="3">
        <v>249000</v>
      </c>
      <c r="D5" s="2" t="s">
        <v>35</v>
      </c>
      <c r="E5" s="2"/>
      <c r="F5" s="2"/>
    </row>
    <row r="6" spans="1:6" ht="16">
      <c r="A6" s="2" t="s">
        <v>36</v>
      </c>
      <c r="B6" s="2" t="s">
        <v>37</v>
      </c>
      <c r="C6" s="3">
        <v>1.536</v>
      </c>
      <c r="D6" s="2" t="s">
        <v>38</v>
      </c>
      <c r="E6" s="2"/>
      <c r="F6" s="2"/>
    </row>
    <row r="7" spans="1:6" ht="16">
      <c r="A7" s="2" t="s">
        <v>39</v>
      </c>
      <c r="B7" s="2" t="s">
        <v>40</v>
      </c>
      <c r="C7" s="3">
        <v>12.6</v>
      </c>
      <c r="D7" s="2" t="s">
        <v>38</v>
      </c>
      <c r="E7" s="2"/>
      <c r="F7" s="2"/>
    </row>
    <row r="8" spans="1:6" ht="16">
      <c r="A8" s="2" t="s">
        <v>41</v>
      </c>
      <c r="B8" s="2" t="s">
        <v>42</v>
      </c>
      <c r="C8" s="3">
        <v>33</v>
      </c>
      <c r="D8" s="2" t="s">
        <v>35</v>
      </c>
      <c r="E8" s="2"/>
      <c r="F8" s="2"/>
    </row>
    <row r="9" spans="1:6" ht="16">
      <c r="A9" s="2" t="s">
        <v>43</v>
      </c>
      <c r="B9" s="2"/>
      <c r="C9" s="3"/>
      <c r="D9" s="2"/>
      <c r="E9" s="2" t="s">
        <v>44</v>
      </c>
      <c r="F9" s="2"/>
    </row>
    <row r="10" spans="1:6" ht="16">
      <c r="A10" s="2" t="s">
        <v>45</v>
      </c>
      <c r="B10" s="2" t="s">
        <v>46</v>
      </c>
      <c r="C10" s="4">
        <f>C5*C6/(C7-C6)+C8</f>
        <v>34601.329718004337</v>
      </c>
      <c r="D10" s="2" t="s">
        <v>35</v>
      </c>
      <c r="E10" s="2" t="str">
        <f>C5&amp;" × "&amp;C6&amp;" / ("&amp;C7&amp;" − "&amp;C6&amp;") + "&amp;C8</f>
        <v>249000 × 1,536 / (12,6 − 1,536) + 33</v>
      </c>
      <c r="F10" s="2"/>
    </row>
    <row r="11" spans="1:6" ht="16">
      <c r="A11" s="2" t="s">
        <v>47</v>
      </c>
      <c r="B11" s="2" t="s">
        <v>48</v>
      </c>
      <c r="C11" s="3">
        <v>34800</v>
      </c>
      <c r="D11" s="2" t="s">
        <v>35</v>
      </c>
      <c r="E11" s="2"/>
      <c r="F11" s="2"/>
    </row>
    <row r="12" spans="1:6" ht="16">
      <c r="A12" s="2" t="s">
        <v>49</v>
      </c>
      <c r="B12" s="2"/>
      <c r="C12" s="3"/>
      <c r="D12" s="2"/>
      <c r="E12" s="2" t="s">
        <v>50</v>
      </c>
      <c r="F12" s="2"/>
    </row>
    <row r="13" spans="1:6" ht="16">
      <c r="A13" s="2" t="s">
        <v>51</v>
      </c>
      <c r="B13" s="2" t="s">
        <v>52</v>
      </c>
      <c r="C13" s="3">
        <f>C6*(1+C5/(C11-C8))</f>
        <v>12.536776598498575</v>
      </c>
      <c r="D13" s="2" t="s">
        <v>38</v>
      </c>
      <c r="E13" s="2" t="str">
        <f>C6&amp;" × (1 + "&amp;C5&amp;" / ("&amp;C11&amp;" − "&amp;C8&amp;"))"</f>
        <v>1,536 × (1 + 249000 / (34800 − 33))</v>
      </c>
      <c r="F13" s="2"/>
    </row>
    <row r="14" spans="1:6" ht="32">
      <c r="A14" s="2" t="s">
        <v>4</v>
      </c>
      <c r="B14" s="2"/>
      <c r="C14" s="3"/>
      <c r="D14" s="2"/>
      <c r="E14" s="2"/>
      <c r="F14" s="2" t="s">
        <v>53</v>
      </c>
    </row>
    <row r="15" spans="1:6">
      <c r="A15" s="2"/>
      <c r="B15" s="2"/>
      <c r="C15" s="3"/>
      <c r="D15" s="2"/>
      <c r="E15" s="2"/>
      <c r="F15" s="2"/>
    </row>
    <row r="16" spans="1:6">
      <c r="A16" s="2"/>
      <c r="B16" s="2"/>
      <c r="C16" s="3"/>
      <c r="D16" s="2"/>
      <c r="E16" s="2"/>
      <c r="F16" s="2"/>
    </row>
    <row r="17" spans="1:6" ht="16">
      <c r="A17" s="8" t="s">
        <v>54</v>
      </c>
      <c r="B17" s="8"/>
      <c r="C17" s="9"/>
      <c r="D17" s="8"/>
      <c r="E17" s="8"/>
      <c r="F17" s="8"/>
    </row>
    <row r="18" spans="1:6" ht="16">
      <c r="A18" s="2" t="s">
        <v>55</v>
      </c>
      <c r="B18" s="2" t="s">
        <v>55</v>
      </c>
      <c r="C18" s="3">
        <v>1000</v>
      </c>
      <c r="D18" s="2" t="s">
        <v>56</v>
      </c>
      <c r="E18" s="2"/>
      <c r="F18" s="2"/>
    </row>
    <row r="19" spans="1:6" ht="16">
      <c r="A19" s="2" t="s">
        <v>57</v>
      </c>
      <c r="B19" s="2" t="s">
        <v>57</v>
      </c>
      <c r="C19" s="3">
        <v>100</v>
      </c>
      <c r="D19" s="2" t="s">
        <v>56</v>
      </c>
      <c r="E19" s="2"/>
      <c r="F19" s="2"/>
    </row>
    <row r="20" spans="1:6" ht="16">
      <c r="A20" s="2" t="s">
        <v>58</v>
      </c>
      <c r="B20" s="2" t="s">
        <v>58</v>
      </c>
      <c r="C20" s="3">
        <v>20</v>
      </c>
      <c r="D20" s="2" t="s">
        <v>56</v>
      </c>
      <c r="E20" s="2" t="s">
        <v>59</v>
      </c>
      <c r="F20" s="2"/>
    </row>
    <row r="21" spans="1:6" ht="16">
      <c r="A21" s="2" t="s">
        <v>60</v>
      </c>
      <c r="B21" s="2" t="s">
        <v>61</v>
      </c>
      <c r="C21" s="3">
        <v>1.1000000000000001</v>
      </c>
      <c r="D21" s="2" t="s">
        <v>38</v>
      </c>
      <c r="E21" s="2"/>
      <c r="F21" s="2"/>
    </row>
    <row r="22" spans="1:6" ht="16">
      <c r="A22" s="2" t="s">
        <v>62</v>
      </c>
      <c r="B22" s="2" t="s">
        <v>63</v>
      </c>
      <c r="C22" s="3">
        <v>1.2</v>
      </c>
      <c r="D22" s="2" t="s">
        <v>38</v>
      </c>
      <c r="E22" s="2"/>
      <c r="F22" s="2"/>
    </row>
    <row r="23" spans="1:6" ht="16">
      <c r="A23" s="2" t="s">
        <v>64</v>
      </c>
      <c r="B23" s="2" t="s">
        <v>65</v>
      </c>
      <c r="C23" s="3">
        <f>SUM(C18:C20)</f>
        <v>1120</v>
      </c>
      <c r="D23" s="2" t="s">
        <v>56</v>
      </c>
      <c r="E23" s="2" t="s">
        <v>66</v>
      </c>
      <c r="F23" s="2"/>
    </row>
    <row r="24" spans="1:6" ht="16">
      <c r="A24" s="2" t="s">
        <v>67</v>
      </c>
      <c r="B24" s="2" t="s">
        <v>68</v>
      </c>
      <c r="C24" s="3">
        <f>C19+C20</f>
        <v>120</v>
      </c>
      <c r="D24" s="2" t="s">
        <v>56</v>
      </c>
      <c r="E24" s="2" t="s">
        <v>69</v>
      </c>
      <c r="F24" s="2"/>
    </row>
    <row r="25" spans="1:6" ht="32">
      <c r="A25" s="2" t="s">
        <v>70</v>
      </c>
      <c r="B25" s="2"/>
      <c r="C25" s="3"/>
      <c r="D25" s="2"/>
      <c r="E25" s="2" t="s">
        <v>71</v>
      </c>
      <c r="F25" s="2"/>
    </row>
    <row r="26" spans="1:6" ht="16">
      <c r="A26" s="2" t="s">
        <v>72</v>
      </c>
      <c r="B26" s="2" t="s">
        <v>73</v>
      </c>
      <c r="C26" s="4">
        <f>C21*C23/C24</f>
        <v>10.266666666666667</v>
      </c>
      <c r="D26" s="2" t="s">
        <v>38</v>
      </c>
      <c r="E26" s="2" t="str">
        <f>C21&amp;" × "&amp;C23&amp;" / "&amp;C24</f>
        <v>1,1 × 1120 / 120</v>
      </c>
      <c r="F26" s="2"/>
    </row>
    <row r="27" spans="1:6" ht="16">
      <c r="A27" s="2" t="s">
        <v>74</v>
      </c>
      <c r="B27" s="2"/>
      <c r="C27" s="4"/>
      <c r="D27" s="2"/>
      <c r="E27" s="2" t="s">
        <v>75</v>
      </c>
      <c r="F27" s="2"/>
    </row>
    <row r="28" spans="1:6" ht="16">
      <c r="A28" s="2" t="s">
        <v>76</v>
      </c>
      <c r="B28" s="2" t="s">
        <v>77</v>
      </c>
      <c r="C28" s="4">
        <f>C22*C23/C20</f>
        <v>67.2</v>
      </c>
      <c r="D28" s="2" t="s">
        <v>38</v>
      </c>
      <c r="E28" s="2" t="str">
        <f>C22&amp;" × "&amp;C23&amp;" / "&amp;C20</f>
        <v>1,2 × 1120 / 20</v>
      </c>
      <c r="F28" s="2"/>
    </row>
    <row r="29" spans="1:6" ht="16">
      <c r="A29" s="2" t="s">
        <v>4</v>
      </c>
      <c r="B29" s="2"/>
      <c r="C29" s="3"/>
      <c r="D29" s="2"/>
      <c r="E29" s="2"/>
      <c r="F29" s="2" t="s">
        <v>116</v>
      </c>
    </row>
    <row r="30" spans="1:6">
      <c r="A30" s="2"/>
      <c r="B30" s="2"/>
      <c r="C30" s="3"/>
      <c r="D30" s="2"/>
      <c r="E30" s="2"/>
      <c r="F30" s="2"/>
    </row>
    <row r="31" spans="1:6">
      <c r="A31" s="2"/>
      <c r="B31" s="2"/>
      <c r="C31" s="3"/>
      <c r="D31" s="2"/>
      <c r="E31" s="2"/>
      <c r="F31" s="2"/>
    </row>
    <row r="32" spans="1:6" ht="32">
      <c r="A32" s="8" t="s">
        <v>78</v>
      </c>
      <c r="B32" s="8"/>
      <c r="C32" s="9"/>
      <c r="D32" s="8"/>
      <c r="E32" s="8"/>
      <c r="F32" s="8"/>
    </row>
    <row r="33" spans="1:6" ht="16">
      <c r="A33" s="2" t="s">
        <v>79</v>
      </c>
      <c r="B33" s="2" t="s">
        <v>80</v>
      </c>
      <c r="C33" s="3">
        <v>50</v>
      </c>
      <c r="D33" s="2" t="s">
        <v>81</v>
      </c>
      <c r="E33" s="2"/>
      <c r="F33" s="2"/>
    </row>
    <row r="34" spans="1:6" ht="16">
      <c r="A34" s="2" t="s">
        <v>82</v>
      </c>
      <c r="B34" s="2" t="s">
        <v>83</v>
      </c>
      <c r="C34" s="3">
        <v>34.799999999999997</v>
      </c>
      <c r="D34" s="2" t="s">
        <v>56</v>
      </c>
      <c r="E34" s="2"/>
      <c r="F34" s="2"/>
    </row>
    <row r="35" spans="1:6" ht="16">
      <c r="A35" s="2" t="s">
        <v>43</v>
      </c>
      <c r="B35" s="2"/>
      <c r="C35" s="3"/>
      <c r="D35" s="2"/>
      <c r="E35" s="2" t="s">
        <v>84</v>
      </c>
      <c r="F35" s="2"/>
    </row>
    <row r="36" spans="1:6" ht="16">
      <c r="A36" s="2" t="s">
        <v>85</v>
      </c>
      <c r="B36" s="2" t="s">
        <v>86</v>
      </c>
      <c r="C36" s="3">
        <f>C33/C34</f>
        <v>1.4367816091954024</v>
      </c>
      <c r="D36" s="2" t="s">
        <v>87</v>
      </c>
      <c r="E36" s="2" t="str">
        <f>C33&amp;" / "&amp;C34</f>
        <v>50 / 34,8</v>
      </c>
      <c r="F36" s="2"/>
    </row>
    <row r="37" spans="1:6" ht="16">
      <c r="A37" s="2" t="s">
        <v>4</v>
      </c>
      <c r="B37" s="2"/>
      <c r="C37" s="3"/>
      <c r="D37" s="2"/>
      <c r="E37" s="2"/>
      <c r="F37" s="2" t="s">
        <v>88</v>
      </c>
    </row>
    <row r="38" spans="1:6">
      <c r="A38" s="2"/>
      <c r="B38" s="2"/>
      <c r="C38" s="3"/>
      <c r="D38" s="2"/>
      <c r="E38" s="2"/>
      <c r="F38" s="2"/>
    </row>
    <row r="39" spans="1:6">
      <c r="A39" s="2"/>
      <c r="B39" s="2"/>
      <c r="C39" s="3"/>
      <c r="D39" s="2"/>
      <c r="E39" s="2"/>
      <c r="F39" s="2"/>
    </row>
    <row r="40" spans="1:6" ht="32">
      <c r="A40" s="8" t="s">
        <v>89</v>
      </c>
      <c r="B40" s="8"/>
      <c r="C40" s="9"/>
      <c r="D40" s="8"/>
      <c r="E40" s="8"/>
      <c r="F40" s="8"/>
    </row>
    <row r="41" spans="1:6" ht="16">
      <c r="A41" s="2" t="s">
        <v>90</v>
      </c>
      <c r="B41" s="2" t="s">
        <v>91</v>
      </c>
      <c r="C41" s="3">
        <v>50</v>
      </c>
      <c r="D41" s="2" t="s">
        <v>81</v>
      </c>
      <c r="E41" s="2"/>
      <c r="F41" s="2"/>
    </row>
    <row r="42" spans="1:6" ht="16">
      <c r="A42" s="2" t="s">
        <v>92</v>
      </c>
      <c r="B42" s="2" t="s">
        <v>93</v>
      </c>
      <c r="C42" s="3">
        <v>10</v>
      </c>
      <c r="D42" s="2" t="s">
        <v>56</v>
      </c>
      <c r="E42" s="2"/>
      <c r="F42" s="2"/>
    </row>
    <row r="43" spans="1:6" ht="16">
      <c r="A43" s="2" t="s">
        <v>94</v>
      </c>
      <c r="B43" s="2" t="s">
        <v>94</v>
      </c>
      <c r="C43" s="3">
        <v>2</v>
      </c>
      <c r="D43" s="2" t="s">
        <v>95</v>
      </c>
      <c r="E43" s="2"/>
      <c r="F43" s="2"/>
    </row>
    <row r="44" spans="1:6" ht="16">
      <c r="A44" s="2" t="s">
        <v>43</v>
      </c>
      <c r="B44" s="2"/>
      <c r="C44" s="3"/>
      <c r="D44" s="2"/>
      <c r="E44" s="2" t="s">
        <v>96</v>
      </c>
      <c r="F44" s="2"/>
    </row>
    <row r="45" spans="1:6" ht="16">
      <c r="A45" s="2" t="s">
        <v>97</v>
      </c>
      <c r="B45" s="2" t="s">
        <v>98</v>
      </c>
      <c r="C45" s="4">
        <f>C41/C42</f>
        <v>5</v>
      </c>
      <c r="D45" s="2" t="s">
        <v>87</v>
      </c>
      <c r="E45" s="2" t="str">
        <f>C41&amp;" / "&amp;C42</f>
        <v>50 / 10</v>
      </c>
      <c r="F45" s="2"/>
    </row>
    <row r="46" spans="1:6" ht="16">
      <c r="A46" s="2" t="s">
        <v>4</v>
      </c>
      <c r="B46" s="2"/>
      <c r="C46" s="3"/>
      <c r="D46" s="2"/>
      <c r="E46" s="2"/>
      <c r="F46" s="2" t="s">
        <v>99</v>
      </c>
    </row>
    <row r="47" spans="1:6">
      <c r="A47" s="2"/>
      <c r="B47" s="2"/>
      <c r="C47" s="3"/>
      <c r="D47" s="2"/>
      <c r="E47" s="2"/>
      <c r="F47" s="2"/>
    </row>
    <row r="48" spans="1:6">
      <c r="A48" s="2"/>
      <c r="B48" s="2"/>
      <c r="C48" s="3"/>
      <c r="D48" s="2"/>
      <c r="E48" s="2"/>
      <c r="F48" s="2"/>
    </row>
    <row r="49" spans="1:6">
      <c r="A49" s="7"/>
      <c r="B49" s="8"/>
      <c r="C49" s="9"/>
      <c r="D49" s="8"/>
      <c r="E49" s="8"/>
      <c r="F49" s="8"/>
    </row>
    <row r="50" spans="1:6">
      <c r="A50" s="2"/>
      <c r="B50" s="2"/>
      <c r="C50" s="3"/>
      <c r="D50" s="2"/>
      <c r="E50" s="2"/>
      <c r="F50" s="2"/>
    </row>
    <row r="51" spans="1:6">
      <c r="A51" s="2"/>
      <c r="B51" s="2"/>
      <c r="C51" s="3"/>
      <c r="D51" s="2"/>
      <c r="E51" s="2"/>
      <c r="F51" s="2"/>
    </row>
    <row r="52" spans="1:6">
      <c r="A52" s="2"/>
      <c r="B52" s="2"/>
      <c r="C52" s="4"/>
      <c r="D52" s="2"/>
      <c r="E52" s="2"/>
      <c r="F52" s="2"/>
    </row>
    <row r="53" spans="1:6">
      <c r="A53" s="2"/>
      <c r="B53" s="2"/>
      <c r="C53" s="3"/>
      <c r="D53" s="2"/>
      <c r="E53" s="2"/>
      <c r="F53" s="2"/>
    </row>
    <row r="54" spans="1:6">
      <c r="A54" s="2"/>
      <c r="B54" s="2"/>
      <c r="C54" s="3"/>
      <c r="D54" s="2"/>
      <c r="E54" s="2"/>
      <c r="F54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sqref="A1:F14"/>
    </sheetView>
  </sheetViews>
  <sheetFormatPr baseColWidth="10" defaultColWidth="8.83203125" defaultRowHeight="15"/>
  <cols>
    <col min="1" max="1" width="34" customWidth="1"/>
    <col min="2" max="2" width="18" customWidth="1"/>
    <col min="3" max="3" width="16" customWidth="1"/>
    <col min="4" max="4" width="12" customWidth="1"/>
    <col min="5" max="5" width="48" customWidth="1"/>
    <col min="6" max="6" width="50" customWidth="1"/>
  </cols>
  <sheetData>
    <row r="1" spans="1:6" ht="18">
      <c r="A1" s="6" t="s">
        <v>117</v>
      </c>
      <c r="B1" s="6"/>
      <c r="C1" s="6"/>
      <c r="D1" s="6"/>
      <c r="E1" s="6"/>
      <c r="F1" s="6"/>
    </row>
    <row r="3" spans="1:6" ht="16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0"/>
    </row>
    <row r="4" spans="1:6">
      <c r="A4" s="8"/>
      <c r="B4" s="8"/>
      <c r="C4" s="8"/>
      <c r="D4" s="8"/>
      <c r="E4" s="8"/>
      <c r="F4" s="8"/>
    </row>
    <row r="5" spans="1:6" ht="16">
      <c r="A5" s="8" t="s">
        <v>102</v>
      </c>
      <c r="B5" s="8"/>
      <c r="C5" s="9"/>
      <c r="D5" s="8"/>
      <c r="E5" s="8"/>
      <c r="F5" s="8"/>
    </row>
    <row r="6" spans="1:6" ht="16">
      <c r="A6" s="2" t="s">
        <v>103</v>
      </c>
      <c r="B6" s="2" t="s">
        <v>104</v>
      </c>
      <c r="C6" s="3">
        <v>100</v>
      </c>
      <c r="D6" s="2" t="s">
        <v>35</v>
      </c>
      <c r="E6" s="2"/>
      <c r="F6" s="2"/>
    </row>
    <row r="7" spans="1:6" ht="16">
      <c r="A7" s="2" t="s">
        <v>105</v>
      </c>
      <c r="B7" s="2" t="s">
        <v>106</v>
      </c>
      <c r="C7" s="3">
        <v>25</v>
      </c>
      <c r="D7" s="2" t="s">
        <v>35</v>
      </c>
      <c r="E7" s="2"/>
      <c r="F7" s="2"/>
    </row>
    <row r="8" spans="1:6" ht="16">
      <c r="A8" s="2" t="s">
        <v>100</v>
      </c>
      <c r="B8" s="2" t="s">
        <v>101</v>
      </c>
      <c r="C8" s="3">
        <v>4.2</v>
      </c>
      <c r="D8" s="2" t="s">
        <v>38</v>
      </c>
      <c r="E8" s="2"/>
      <c r="F8" s="2"/>
    </row>
    <row r="9" spans="1:6" ht="16">
      <c r="A9" s="2" t="s">
        <v>107</v>
      </c>
      <c r="B9" s="2" t="s">
        <v>108</v>
      </c>
      <c r="C9" s="3">
        <v>3.7</v>
      </c>
      <c r="D9" s="2" t="s">
        <v>38</v>
      </c>
      <c r="E9" s="2"/>
      <c r="F9" s="2"/>
    </row>
    <row r="10" spans="1:6" ht="16">
      <c r="A10" s="2" t="s">
        <v>109</v>
      </c>
      <c r="B10" s="2"/>
      <c r="C10" s="3"/>
      <c r="D10" s="2"/>
      <c r="E10" s="2" t="s">
        <v>110</v>
      </c>
      <c r="F10" s="2"/>
    </row>
    <row r="11" spans="1:6" ht="16">
      <c r="A11" s="2" t="s">
        <v>111</v>
      </c>
      <c r="B11" s="2" t="s">
        <v>112</v>
      </c>
      <c r="C11" s="3"/>
      <c r="D11" s="2" t="s">
        <v>87</v>
      </c>
      <c r="E11" s="2"/>
      <c r="F11" s="2"/>
    </row>
    <row r="12" spans="1:6" ht="16">
      <c r="A12" s="2" t="s">
        <v>113</v>
      </c>
      <c r="B12" s="2" t="s">
        <v>114</v>
      </c>
      <c r="C12" s="3"/>
      <c r="D12" s="2" t="s">
        <v>87</v>
      </c>
      <c r="E12" s="2"/>
      <c r="F12" s="2"/>
    </row>
    <row r="13" spans="1:6" ht="16">
      <c r="A13" s="2" t="s">
        <v>4</v>
      </c>
      <c r="B13" s="2"/>
      <c r="C13" s="5">
        <f>C8/(2*C6+C7)</f>
        <v>1.8666666666666668E-2</v>
      </c>
      <c r="D13" s="2"/>
      <c r="E13" s="2" t="str">
        <f>C8&amp;" / (2 × "&amp;C6&amp;" + "&amp;C7&amp;")"</f>
        <v>4,2 / (2 × 100 + 25)</v>
      </c>
      <c r="F13" s="2" t="s">
        <v>118</v>
      </c>
    </row>
    <row r="14" spans="1:6">
      <c r="A14" s="2"/>
      <c r="B14" s="2"/>
      <c r="C14" s="5">
        <f>C9/(2*C6+C7)</f>
        <v>1.6444444444444446E-2</v>
      </c>
      <c r="D14" s="2"/>
      <c r="E14" s="2" t="str">
        <f>C9&amp;" / (2 × "&amp;C6&amp;" + "&amp;C7&amp;")"</f>
        <v>3,7 / (2 × 100 + 25)</v>
      </c>
      <c r="F14" s="2"/>
    </row>
    <row r="15" spans="1:6">
      <c r="A15" s="2"/>
      <c r="B15" s="2"/>
      <c r="C15" s="3"/>
      <c r="D15" s="2"/>
      <c r="E15" s="2"/>
      <c r="F15" s="2"/>
    </row>
    <row r="16" spans="1:6">
      <c r="A16" s="2"/>
      <c r="B16" s="2"/>
      <c r="C16" s="3"/>
      <c r="D16" s="2"/>
      <c r="E16" s="2"/>
      <c r="F16" s="2"/>
    </row>
    <row r="17" spans="1:6">
      <c r="A17" s="8"/>
      <c r="B17" s="8"/>
      <c r="C17" s="9"/>
      <c r="D17" s="8"/>
      <c r="E17" s="8"/>
      <c r="F17" s="8"/>
    </row>
    <row r="18" spans="1:6">
      <c r="A18" s="2"/>
      <c r="B18" s="2"/>
      <c r="C18" s="3"/>
      <c r="D18" s="2"/>
      <c r="E18" s="2"/>
      <c r="F18" s="2"/>
    </row>
    <row r="19" spans="1:6">
      <c r="A19" s="2"/>
      <c r="B19" s="2"/>
      <c r="C19" s="3"/>
      <c r="D19" s="2"/>
      <c r="E19" s="2"/>
      <c r="F19" s="2"/>
    </row>
    <row r="20" spans="1:6">
      <c r="A20" s="2"/>
      <c r="B20" s="2"/>
      <c r="C20" s="3"/>
      <c r="D20" s="2"/>
      <c r="E20" s="2"/>
      <c r="F20" s="2"/>
    </row>
    <row r="21" spans="1:6">
      <c r="A21" s="2"/>
      <c r="B21" s="2"/>
      <c r="C21" s="5"/>
      <c r="D21" s="2"/>
      <c r="E21" s="2"/>
      <c r="F21" s="2"/>
    </row>
    <row r="22" spans="1:6">
      <c r="A22" s="2"/>
      <c r="B22" s="2"/>
      <c r="C22" s="4"/>
      <c r="D22" s="2"/>
      <c r="E22" s="2"/>
      <c r="F22" s="2"/>
    </row>
    <row r="23" spans="1:6">
      <c r="A23" s="2"/>
      <c r="B23" s="2"/>
      <c r="C23" s="3"/>
      <c r="D23" s="2"/>
      <c r="E23" s="2"/>
      <c r="F23" s="2"/>
    </row>
    <row r="24" spans="1:6">
      <c r="A24" s="8"/>
      <c r="B24" s="8"/>
      <c r="C24" s="9"/>
      <c r="D24" s="8"/>
      <c r="E24" s="8"/>
      <c r="F24" s="8"/>
    </row>
    <row r="25" spans="1:6">
      <c r="A25" s="2"/>
      <c r="B25" s="2"/>
      <c r="C25" s="3"/>
      <c r="D25" s="2"/>
      <c r="E25" s="2"/>
      <c r="F25" s="2"/>
    </row>
    <row r="26" spans="1:6">
      <c r="A26" s="2"/>
      <c r="B26" s="2"/>
      <c r="C26" s="3"/>
      <c r="D26" s="2"/>
      <c r="E26" s="2"/>
      <c r="F26" s="2"/>
    </row>
    <row r="27" spans="1:6">
      <c r="A27" s="2"/>
      <c r="B27" s="2"/>
      <c r="C27" s="3"/>
      <c r="D27" s="2"/>
      <c r="E27" s="2"/>
      <c r="F27" s="2"/>
    </row>
    <row r="28" spans="1:6">
      <c r="A28" s="2"/>
      <c r="B28" s="2"/>
      <c r="C28" s="5"/>
      <c r="D28" s="2"/>
      <c r="E28" s="2"/>
      <c r="F28" s="2"/>
    </row>
    <row r="29" spans="1:6">
      <c r="A29" s="2"/>
      <c r="B29" s="2"/>
      <c r="C29" s="4"/>
      <c r="D29" s="2"/>
      <c r="E29" s="2"/>
      <c r="F29" s="2"/>
    </row>
    <row r="30" spans="1:6">
      <c r="A30" s="2"/>
      <c r="B30" s="2"/>
      <c r="C30" s="3"/>
      <c r="D30" s="2"/>
      <c r="E30" s="2"/>
      <c r="F30" s="2"/>
    </row>
    <row r="31" spans="1:6">
      <c r="A31" s="2"/>
      <c r="B31" s="2"/>
      <c r="C31" s="3"/>
      <c r="D31" s="2"/>
      <c r="E31" s="2"/>
      <c r="F31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Summary</vt:lpstr>
      <vt:lpstr>BQ25750_Calcs</vt:lpstr>
      <vt:lpstr>BQ76942_Calcs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Tsekas</cp:lastModifiedBy>
  <dcterms:modified xsi:type="dcterms:W3CDTF">2026-06-01T16:29:35Z</dcterms:modified>
</cp:coreProperties>
</file>